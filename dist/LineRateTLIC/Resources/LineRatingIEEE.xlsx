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fle\OneDrive\Desktop\"/>
    </mc:Choice>
  </mc:AlternateContent>
  <xr:revisionPtr revIDLastSave="0" documentId="8_{9E7688DA-8912-463D-B6B3-5EE028902F52}" xr6:coauthVersionLast="47" xr6:coauthVersionMax="47" xr10:uidLastSave="{00000000-0000-0000-0000-000000000000}"/>
  <bookViews>
    <workbookView xWindow="-108" yWindow="-108" windowWidth="30936" windowHeight="18696" xr2:uid="{8AED2F9A-F9F2-442A-B5D3-BC252AA8575E}"/>
  </bookViews>
  <sheets>
    <sheet name="LineRating_IEEE" sheetId="1" r:id="rId1"/>
    <sheet name="ConductorData" sheetId="2" r:id="rId2"/>
  </sheets>
  <definedNames>
    <definedName name="ConductorList">ConductorData!$M$2:$M$3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K4" i="1" s="1"/>
  <c r="B22" i="1"/>
  <c r="K16" i="1"/>
  <c r="G17" i="1"/>
  <c r="G15" i="1"/>
  <c r="G13" i="1"/>
  <c r="N18" i="1"/>
  <c r="K14" i="1"/>
  <c r="K22" i="1"/>
  <c r="K21" i="1"/>
  <c r="K20" i="1"/>
  <c r="K13" i="1"/>
  <c r="K11" i="1"/>
  <c r="K10" i="1" s="1"/>
  <c r="K9" i="1"/>
  <c r="K8" i="1"/>
  <c r="G23" i="1"/>
  <c r="G5" i="1"/>
  <c r="G4" i="1"/>
  <c r="K36" i="1"/>
  <c r="K35" i="1" s="1"/>
  <c r="K34" i="1" s="1"/>
  <c r="K33" i="1" s="1"/>
  <c r="K32" i="1" s="1"/>
  <c r="K31" i="1" s="1"/>
  <c r="K30" i="1" s="1"/>
  <c r="K29" i="1" s="1"/>
  <c r="K28" i="1" s="1"/>
  <c r="K27" i="1" s="1"/>
  <c r="K26" i="1" s="1"/>
  <c r="K37" i="1"/>
  <c r="K40" i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39" i="1"/>
  <c r="J45" i="1"/>
  <c r="J46" i="1"/>
  <c r="J47" i="1" s="1"/>
  <c r="J48" i="1" s="1"/>
  <c r="J49" i="1" s="1"/>
  <c r="J50" i="1" s="1"/>
  <c r="J28" i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C28" i="1"/>
  <c r="C20" i="1"/>
  <c r="C19" i="1"/>
  <c r="C16" i="1"/>
  <c r="G6" i="1" l="1"/>
  <c r="G10" i="1"/>
  <c r="C21" i="1"/>
  <c r="G9" i="1"/>
  <c r="K19" i="1"/>
  <c r="K18" i="1"/>
  <c r="K12" i="1"/>
  <c r="K17" i="1" s="1"/>
  <c r="G20" i="1" l="1"/>
  <c r="K15" i="1"/>
  <c r="C31" i="1" s="1"/>
  <c r="F28" i="1" s="1"/>
</calcChain>
</file>

<file path=xl/sharedStrings.xml><?xml version="1.0" encoding="utf-8"?>
<sst xmlns="http://schemas.openxmlformats.org/spreadsheetml/2006/main" count="123" uniqueCount="106">
  <si>
    <t>Input</t>
  </si>
  <si>
    <t>Conductor</t>
  </si>
  <si>
    <t>Wind Speed (Vw)(ft/s)</t>
  </si>
  <si>
    <r>
      <t>Emissivity(</t>
    </r>
    <r>
      <rPr>
        <sz val="11"/>
        <color theme="1"/>
        <rFont val="Aptos Narrow"/>
        <family val="2"/>
      </rPr>
      <t>ɛ</t>
    </r>
    <r>
      <rPr>
        <sz val="11"/>
        <color theme="1"/>
        <rFont val="Aptos Narrow"/>
        <family val="2"/>
        <scheme val="minor"/>
      </rPr>
      <t>)</t>
    </r>
  </si>
  <si>
    <t>Vw</t>
  </si>
  <si>
    <t>ɛ</t>
  </si>
  <si>
    <t>a</t>
  </si>
  <si>
    <t>Ta</t>
  </si>
  <si>
    <t>Tc</t>
  </si>
  <si>
    <t>D A'</t>
  </si>
  <si>
    <t>R(Tc)</t>
  </si>
  <si>
    <t>Zl</t>
  </si>
  <si>
    <t>Lat</t>
  </si>
  <si>
    <t>He</t>
  </si>
  <si>
    <t>Solar Absorpivity(a)</t>
  </si>
  <si>
    <t>Ambient Air Temp (C)</t>
  </si>
  <si>
    <t>Max Allowable Conductor Temp (C)</t>
  </si>
  <si>
    <t>Conductor Outside Diameter (inches)(ft)</t>
  </si>
  <si>
    <r>
      <t>Conductor AC Resistance R(25C)(</t>
    </r>
    <r>
      <rPr>
        <sz val="11"/>
        <color theme="1"/>
        <rFont val="Aptos Narrow"/>
        <family val="2"/>
      </rPr>
      <t>Ω/ft)</t>
    </r>
  </si>
  <si>
    <r>
      <t>Conductor AC Resistance R(75C)(</t>
    </r>
    <r>
      <rPr>
        <sz val="11"/>
        <color theme="1"/>
        <rFont val="Aptos Narrow"/>
        <family val="2"/>
      </rPr>
      <t>Ω/ft)</t>
    </r>
  </si>
  <si>
    <t>Azmith of Line (Z)</t>
  </si>
  <si>
    <t>Lattitude</t>
  </si>
  <si>
    <t>Atmosphere</t>
  </si>
  <si>
    <t>Date/Time</t>
  </si>
  <si>
    <t>Average Conductor Elevation (ft)(m)</t>
  </si>
  <si>
    <t>IEEE 738 - 2006 Example calculation</t>
  </si>
  <si>
    <t>Steady State Heat Balance Equation</t>
  </si>
  <si>
    <t>I</t>
  </si>
  <si>
    <t>Conductor Current</t>
  </si>
  <si>
    <t>Convection Heat Loss</t>
  </si>
  <si>
    <t>Radiated Heat Loss</t>
  </si>
  <si>
    <t>Solar Heat Gain</t>
  </si>
  <si>
    <t>Conductor Temperature</t>
  </si>
  <si>
    <t>North</t>
  </si>
  <si>
    <t>Natural Convection Heat Loss(Qcn)</t>
  </si>
  <si>
    <t>T(film)</t>
  </si>
  <si>
    <t>Air Density(pf)(lb/ft^3)</t>
  </si>
  <si>
    <t>Qcn(W/ft)</t>
  </si>
  <si>
    <t>Resistance at 100 degrees C</t>
  </si>
  <si>
    <t>Conductor Temp for c</t>
  </si>
  <si>
    <t>Radiated Heat Loss(Qr)</t>
  </si>
  <si>
    <t>Qr</t>
  </si>
  <si>
    <t>Qs</t>
  </si>
  <si>
    <t>Qc</t>
  </si>
  <si>
    <t>Solar Heat Gain (Qs)</t>
  </si>
  <si>
    <t>N</t>
  </si>
  <si>
    <t>δ</t>
  </si>
  <si>
    <t>ω</t>
  </si>
  <si>
    <t>Hc</t>
  </si>
  <si>
    <t>Zc</t>
  </si>
  <si>
    <t>C</t>
  </si>
  <si>
    <t>X</t>
  </si>
  <si>
    <t>Qs Clear</t>
  </si>
  <si>
    <t>Qs Industrial</t>
  </si>
  <si>
    <t>θ</t>
  </si>
  <si>
    <t>Qse Clear</t>
  </si>
  <si>
    <t>Qse Industrial</t>
  </si>
  <si>
    <t>Ksolar</t>
  </si>
  <si>
    <t>Qs Sea Level Clear</t>
  </si>
  <si>
    <t>Qs Sea Level Industrial</t>
  </si>
  <si>
    <r>
      <t xml:space="preserve">Hour Angle </t>
    </r>
    <r>
      <rPr>
        <sz val="11"/>
        <color theme="1"/>
        <rFont val="Aptos Narrow"/>
        <family val="2"/>
      </rPr>
      <t>ω (degrees</t>
    </r>
    <r>
      <rPr>
        <sz val="11"/>
        <color theme="1"/>
        <rFont val="Aptos Narrow"/>
        <family val="2"/>
        <scheme val="minor"/>
      </rPr>
      <t>)</t>
    </r>
  </si>
  <si>
    <r>
      <t>0&lt;=</t>
    </r>
    <r>
      <rPr>
        <sz val="11"/>
        <color theme="1"/>
        <rFont val="Aptos Narrow"/>
        <family val="2"/>
      </rPr>
      <t>ω&lt;=180</t>
    </r>
  </si>
  <si>
    <t>-180&lt;=ω&lt;0</t>
  </si>
  <si>
    <t>C if X &gt;= 0 (degrees)</t>
  </si>
  <si>
    <t>C if X&lt;0 (degrees)</t>
  </si>
  <si>
    <t>Clear Atmosphere</t>
  </si>
  <si>
    <t>A</t>
  </si>
  <si>
    <t>B</t>
  </si>
  <si>
    <t>D</t>
  </si>
  <si>
    <t>E</t>
  </si>
  <si>
    <t>F</t>
  </si>
  <si>
    <t>G</t>
  </si>
  <si>
    <t>Industrial Atmosphere</t>
  </si>
  <si>
    <t>Forced Convection Heat Loss Rate(Qc1,Qc2)</t>
  </si>
  <si>
    <t>Qc1</t>
  </si>
  <si>
    <t>Qc2</t>
  </si>
  <si>
    <t>Dynamic Viscosity of Air</t>
  </si>
  <si>
    <t>μf</t>
  </si>
  <si>
    <t>Thermal Conductivity of Air</t>
  </si>
  <si>
    <t>Kf</t>
  </si>
  <si>
    <t>Wind Direction Factor</t>
  </si>
  <si>
    <t>Kangle</t>
  </si>
  <si>
    <t>Convection Heat Loss Final (Qc)</t>
  </si>
  <si>
    <t>W/(ft-C)</t>
  </si>
  <si>
    <t>Clear</t>
  </si>
  <si>
    <t>ϐ</t>
  </si>
  <si>
    <t>Wind Direction Angle(degrees)</t>
  </si>
  <si>
    <t>Answer</t>
  </si>
  <si>
    <t>STATIC</t>
  </si>
  <si>
    <t>NAME</t>
  </si>
  <si>
    <t>GMR(ft)</t>
  </si>
  <si>
    <t>RADIUS(ft)</t>
  </si>
  <si>
    <t>RATEA(A)</t>
  </si>
  <si>
    <t>RATEB(A)</t>
  </si>
  <si>
    <t>RATEC(A)</t>
  </si>
  <si>
    <t>R(Ohms/mi)</t>
  </si>
  <si>
    <t>XL(Ohms/mi)</t>
  </si>
  <si>
    <t>XC(Ohms-mi)</t>
  </si>
  <si>
    <t>Type</t>
  </si>
  <si>
    <t>Code</t>
  </si>
  <si>
    <t>Name</t>
  </si>
  <si>
    <t>1272 ACSR (BITTERN)</t>
  </si>
  <si>
    <t>BITTERN</t>
  </si>
  <si>
    <t>ACSR</t>
  </si>
  <si>
    <t>DIPPER</t>
  </si>
  <si>
    <t>1351.5 ACSR (DIPPER)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</si>
</sst>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7" formatCode="0.0000000"/>
    <numFmt numFmtId="168" formatCode="0.000000"/>
    <numFmt numFmtId="169" formatCode="0.00000"/>
    <numFmt numFmtId="171" formatCode="0.000E+00"/>
    <numFmt numFmtId="172" formatCode="0.000"/>
    <numFmt numFmtId="173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Fill="1" applyBorder="1"/>
    <xf numFmtId="0" fontId="1" fillId="0" borderId="5" xfId="0" applyFont="1" applyBorder="1"/>
    <xf numFmtId="0" fontId="2" fillId="0" borderId="7" xfId="0" applyFont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3" xfId="0" applyBorder="1"/>
    <xf numFmtId="0" fontId="0" fillId="0" borderId="5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9" fontId="0" fillId="0" borderId="15" xfId="0" applyNumberFormat="1" applyBorder="1" applyAlignment="1">
      <alignment horizontal="center"/>
    </xf>
    <xf numFmtId="169" fontId="0" fillId="0" borderId="1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7" xfId="0" applyBorder="1" applyAlignment="1"/>
    <xf numFmtId="17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173" fontId="0" fillId="0" borderId="19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83820</xdr:colOff>
      <xdr:row>2</xdr:row>
      <xdr:rowOff>64770</xdr:rowOff>
    </xdr:from>
    <xdr:ext cx="2042160" cy="61341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30D7D15-33D8-3E72-B6C6-901B7FB61183}"/>
                </a:ext>
              </a:extLst>
            </xdr:cNvPr>
            <xdr:cNvSpPr txBox="1"/>
          </xdr:nvSpPr>
          <xdr:spPr>
            <a:xfrm>
              <a:off x="83820" y="430530"/>
              <a:ext cx="2042160" cy="6134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=√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𝑞𝑐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𝑞𝑟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𝑞𝑠</m:t>
                        </m:r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𝑇𝑐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8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30D7D15-33D8-3E72-B6C6-901B7FB61183}"/>
                </a:ext>
              </a:extLst>
            </xdr:cNvPr>
            <xdr:cNvSpPr txBox="1"/>
          </xdr:nvSpPr>
          <xdr:spPr>
            <a:xfrm>
              <a:off x="83820" y="430530"/>
              <a:ext cx="2042160" cy="6134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𝐼=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√(𝑞𝑐+𝑞𝑟−𝑞𝑠)/(𝑅(𝑇𝑐))</a:t>
              </a:r>
              <a:endParaRPr lang="en-US" sz="18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5C7C-988D-4198-B56E-EE227B157B03}">
  <dimension ref="A1:O50"/>
  <sheetViews>
    <sheetView tabSelected="1" workbookViewId="0">
      <selection activeCell="F28" sqref="F28:G28"/>
    </sheetView>
  </sheetViews>
  <sheetFormatPr defaultRowHeight="14.4" x14ac:dyDescent="0.3"/>
  <cols>
    <col min="1" max="1" width="33.33203125" style="1" bestFit="1" customWidth="1"/>
    <col min="2" max="2" width="11" style="1" bestFit="1" customWidth="1"/>
    <col min="3" max="3" width="20.33203125" style="1" bestFit="1" customWidth="1"/>
    <col min="4" max="4" width="8.88671875" style="1"/>
    <col min="6" max="7" width="20.21875" customWidth="1"/>
    <col min="10" max="10" width="19" bestFit="1" customWidth="1"/>
    <col min="11" max="11" width="10.77734375" customWidth="1"/>
    <col min="13" max="13" width="19.6640625" bestFit="1" customWidth="1"/>
    <col min="14" max="14" width="16.5546875" bestFit="1" customWidth="1"/>
    <col min="15" max="15" width="14.88671875" bestFit="1" customWidth="1"/>
  </cols>
  <sheetData>
    <row r="1" spans="1:15" x14ac:dyDescent="0.3">
      <c r="A1" s="1" t="s">
        <v>25</v>
      </c>
    </row>
    <row r="2" spans="1:15" ht="15" thickBot="1" x14ac:dyDescent="0.35">
      <c r="A2" s="11" t="s">
        <v>26</v>
      </c>
      <c r="B2" s="11"/>
      <c r="C2" s="11"/>
      <c r="D2" s="11"/>
    </row>
    <row r="3" spans="1:15" x14ac:dyDescent="0.3">
      <c r="A3" s="11"/>
      <c r="B3" s="11" t="s">
        <v>27</v>
      </c>
      <c r="C3" s="11" t="s">
        <v>28</v>
      </c>
      <c r="D3" s="11"/>
      <c r="F3" s="17" t="s">
        <v>34</v>
      </c>
      <c r="G3" s="19"/>
      <c r="H3" s="18"/>
      <c r="J3" s="15" t="s">
        <v>40</v>
      </c>
      <c r="K3" s="16"/>
    </row>
    <row r="4" spans="1:15" ht="15" thickBot="1" x14ac:dyDescent="0.35">
      <c r="A4" s="11"/>
      <c r="B4" s="11" t="s">
        <v>43</v>
      </c>
      <c r="C4" s="11" t="s">
        <v>29</v>
      </c>
      <c r="D4" s="47"/>
      <c r="F4" s="3" t="s">
        <v>35</v>
      </c>
      <c r="G4" s="27">
        <f>(B20+B19)/2</f>
        <v>70</v>
      </c>
      <c r="H4" s="29"/>
      <c r="J4" s="5" t="s">
        <v>41</v>
      </c>
      <c r="K4" s="7">
        <f>0.138*B21*B17*((((B20+273)/100)^4)-(((B19+273)/100)^4))</f>
        <v>9.0565276156024339</v>
      </c>
    </row>
    <row r="5" spans="1:15" x14ac:dyDescent="0.3">
      <c r="A5" s="11"/>
      <c r="B5" s="11" t="s">
        <v>41</v>
      </c>
      <c r="C5" s="11" t="s">
        <v>30</v>
      </c>
      <c r="D5" s="11"/>
      <c r="F5" s="3" t="s">
        <v>36</v>
      </c>
      <c r="G5" s="38">
        <f>(0.080695-(0.000002901*B28)+(0.000000000037*(B28^2)))/(1+(0.00367*G4))</f>
        <v>6.3447730613413966E-2</v>
      </c>
      <c r="H5" s="39"/>
    </row>
    <row r="6" spans="1:15" ht="15" thickBot="1" x14ac:dyDescent="0.35">
      <c r="A6" s="11"/>
      <c r="B6" s="44" t="s">
        <v>42</v>
      </c>
      <c r="C6" s="44" t="s">
        <v>31</v>
      </c>
      <c r="D6" s="11"/>
      <c r="F6" s="5" t="s">
        <v>37</v>
      </c>
      <c r="G6" s="63">
        <f>0.283*(G5^0.5)*(B21^0.75*((B20-B19)^1.25))</f>
        <v>14.866734008493879</v>
      </c>
      <c r="H6" s="64"/>
    </row>
    <row r="7" spans="1:15" ht="15" thickBot="1" x14ac:dyDescent="0.35">
      <c r="A7" s="11"/>
      <c r="B7" s="44" t="s">
        <v>8</v>
      </c>
      <c r="C7" s="44" t="s">
        <v>32</v>
      </c>
      <c r="D7" s="11"/>
      <c r="F7" s="8"/>
      <c r="G7" s="8"/>
      <c r="H7" s="8"/>
      <c r="J7" s="17" t="s">
        <v>44</v>
      </c>
      <c r="K7" s="18"/>
    </row>
    <row r="8" spans="1:15" x14ac:dyDescent="0.3">
      <c r="A8" s="11"/>
      <c r="B8" s="11"/>
      <c r="C8" s="11"/>
      <c r="D8" s="11"/>
      <c r="F8" s="17" t="s">
        <v>73</v>
      </c>
      <c r="G8" s="19"/>
      <c r="H8" s="18"/>
      <c r="J8" s="3" t="s">
        <v>45</v>
      </c>
      <c r="K8" s="31">
        <f>B27-DATE(YEAR(B27),1,0)</f>
        <v>161</v>
      </c>
    </row>
    <row r="9" spans="1:15" x14ac:dyDescent="0.3">
      <c r="A9" s="11"/>
      <c r="B9" s="11"/>
      <c r="C9" s="11"/>
      <c r="D9" s="11"/>
      <c r="F9" s="3" t="s">
        <v>74</v>
      </c>
      <c r="G9" s="61">
        <f>(1.01+(0.371*((B21*G5*C16)/G13)^0.52))*(G15*G17)*(B20-B19)</f>
        <v>27.436977982833678</v>
      </c>
      <c r="H9" s="62"/>
      <c r="J9" s="21" t="s">
        <v>46</v>
      </c>
      <c r="K9" s="31">
        <f>23.4583*SIN(RADIANS(((284+K8)/365)*360))</f>
        <v>23.019781571572491</v>
      </c>
    </row>
    <row r="10" spans="1:15" ht="15" thickBot="1" x14ac:dyDescent="0.35">
      <c r="A10" s="11"/>
      <c r="B10" s="11"/>
      <c r="C10" s="11"/>
      <c r="D10" s="11"/>
      <c r="F10" s="5" t="s">
        <v>75</v>
      </c>
      <c r="G10" s="59">
        <f>(0.1695*(((B21*G5*C16)/G13)^0.6))*(G15*G17)*(B20-B19)</f>
        <v>26.11997463437357</v>
      </c>
      <c r="H10" s="60"/>
      <c r="J10" s="22" t="s">
        <v>48</v>
      </c>
      <c r="K10" s="31">
        <f>DEGREES(ASIN(((COS(RADIANS(B25))*COS(RADIANS(K9))*COS(RADIANS(K11)))+(SIN(RADIANS(B25))*SIN(RADIANS(K9))))))</f>
        <v>-11.712878924426947</v>
      </c>
    </row>
    <row r="11" spans="1:15" ht="15" thickBot="1" x14ac:dyDescent="0.35">
      <c r="A11" s="11"/>
      <c r="B11" s="11"/>
      <c r="C11" s="11"/>
      <c r="D11" s="11"/>
      <c r="F11" s="8"/>
      <c r="G11" s="8"/>
      <c r="H11" s="8"/>
      <c r="J11" s="21" t="s">
        <v>47</v>
      </c>
      <c r="K11" s="31">
        <f>VLOOKUP(C27,J26:K50,2,FALSE)</f>
        <v>-120</v>
      </c>
    </row>
    <row r="12" spans="1:15" ht="15" thickBot="1" x14ac:dyDescent="0.35">
      <c r="A12" s="11"/>
      <c r="B12" s="11"/>
      <c r="C12" s="11"/>
      <c r="D12" s="11"/>
      <c r="F12" s="17" t="s">
        <v>76</v>
      </c>
      <c r="G12" s="19"/>
      <c r="H12" s="18"/>
      <c r="J12" s="21" t="s">
        <v>49</v>
      </c>
      <c r="K12" s="31">
        <f>K14+DEGREES(ATAN(K13))</f>
        <v>54.489960599727333</v>
      </c>
    </row>
    <row r="13" spans="1:15" ht="15" thickBot="1" x14ac:dyDescent="0.35">
      <c r="A13" s="45"/>
      <c r="B13" s="45"/>
      <c r="C13" s="45"/>
      <c r="D13" s="45"/>
      <c r="F13" s="21" t="s">
        <v>77</v>
      </c>
      <c r="G13" s="38">
        <f>(0.00353*((G4+273)^1.5))/(G4+383.4)</f>
        <v>4.9457751675049101E-2</v>
      </c>
      <c r="H13" s="39"/>
      <c r="J13" s="21" t="s">
        <v>51</v>
      </c>
      <c r="K13" s="31">
        <f>SIN(RADIANS(K11))/((SIN(RADIANS(B25))*COS(RADIANS(K11)))-(COS(RADIANS(B25))*TAN(RADIANS(K9))))</f>
        <v>1.4014288126036143</v>
      </c>
      <c r="M13" s="12" t="s">
        <v>60</v>
      </c>
      <c r="N13" s="33" t="s">
        <v>63</v>
      </c>
      <c r="O13" s="13" t="s">
        <v>64</v>
      </c>
    </row>
    <row r="14" spans="1:15" x14ac:dyDescent="0.3">
      <c r="A14" s="17" t="s">
        <v>0</v>
      </c>
      <c r="B14" s="19"/>
      <c r="C14" s="19"/>
      <c r="D14" s="18"/>
      <c r="F14" s="36" t="s">
        <v>78</v>
      </c>
      <c r="G14" s="20"/>
      <c r="H14" s="37"/>
      <c r="J14" s="3" t="s">
        <v>50</v>
      </c>
      <c r="K14" s="31">
        <f>IF(K11&lt;0,IF(K13&gt;=0,N14,O14),IF(K13&gt;=0,N15,O15))</f>
        <v>0</v>
      </c>
      <c r="M14" s="34" t="s">
        <v>62</v>
      </c>
      <c r="N14" s="2">
        <v>0</v>
      </c>
      <c r="O14" s="4">
        <v>180</v>
      </c>
    </row>
    <row r="15" spans="1:15" ht="15" thickBot="1" x14ac:dyDescent="0.35">
      <c r="A15" s="49" t="s">
        <v>1</v>
      </c>
      <c r="B15" s="27" t="s">
        <v>101</v>
      </c>
      <c r="C15" s="28"/>
      <c r="D15" s="54"/>
      <c r="F15" s="3" t="s">
        <v>79</v>
      </c>
      <c r="G15" s="43">
        <f>0.007388+(0.00002279*G4)-(0.000000001343*G4^2)</f>
        <v>8.9767192999999999E-3</v>
      </c>
      <c r="H15" s="4" t="s">
        <v>83</v>
      </c>
      <c r="J15" s="23" t="s">
        <v>52</v>
      </c>
      <c r="K15" s="31">
        <f>B18*K18*SIN(RADIANS(K17))*C21</f>
        <v>-3.5501656167742852</v>
      </c>
      <c r="M15" s="35" t="s">
        <v>61</v>
      </c>
      <c r="N15" s="6">
        <v>180</v>
      </c>
      <c r="O15" s="7">
        <v>360</v>
      </c>
    </row>
    <row r="16" spans="1:15" ht="15" thickBot="1" x14ac:dyDescent="0.35">
      <c r="A16" s="49" t="s">
        <v>2</v>
      </c>
      <c r="B16" s="25">
        <v>2</v>
      </c>
      <c r="C16" s="25">
        <f>B16*3600</f>
        <v>7200</v>
      </c>
      <c r="D16" s="26" t="s">
        <v>4</v>
      </c>
      <c r="F16" s="36" t="s">
        <v>80</v>
      </c>
      <c r="G16" s="20"/>
      <c r="H16" s="37"/>
      <c r="J16" s="23" t="s">
        <v>53</v>
      </c>
      <c r="K16" s="31">
        <f>B19*K19*SIN(RADIANS(K18))*C22</f>
        <v>-3.1953355397128362E-3</v>
      </c>
    </row>
    <row r="17" spans="1:14" ht="15" thickBot="1" x14ac:dyDescent="0.35">
      <c r="A17" s="49" t="s">
        <v>3</v>
      </c>
      <c r="B17" s="25">
        <v>0.5</v>
      </c>
      <c r="C17" s="25"/>
      <c r="D17" s="48" t="s">
        <v>5</v>
      </c>
      <c r="F17" s="5" t="s">
        <v>81</v>
      </c>
      <c r="G17" s="41">
        <f>1.194-SIN(B30)-(0.194*COS(2*B30))+(0.368*SIN(2*B30))</f>
        <v>1</v>
      </c>
      <c r="H17" s="42"/>
      <c r="J17" s="21" t="s">
        <v>54</v>
      </c>
      <c r="K17" s="31">
        <f>DEGREES(ACOS(COS(RADIANS(K10))*COS(RADIANS(K12-B24))))</f>
        <v>37.149384726602968</v>
      </c>
      <c r="M17" s="17" t="s">
        <v>65</v>
      </c>
      <c r="N17" s="18"/>
    </row>
    <row r="18" spans="1:14" ht="15" thickBot="1" x14ac:dyDescent="0.35">
      <c r="A18" s="49" t="s">
        <v>14</v>
      </c>
      <c r="B18" s="25">
        <v>0.5</v>
      </c>
      <c r="C18" s="25"/>
      <c r="D18" s="26" t="s">
        <v>6</v>
      </c>
      <c r="F18" s="8"/>
      <c r="G18" s="8"/>
      <c r="H18" s="8"/>
      <c r="J18" s="21" t="s">
        <v>55</v>
      </c>
      <c r="K18" s="31">
        <f>K20*K21</f>
        <v>-104.90323797282683</v>
      </c>
      <c r="M18" s="3" t="s">
        <v>66</v>
      </c>
      <c r="N18" s="4">
        <f>-3.9241</f>
        <v>-3.9241000000000001</v>
      </c>
    </row>
    <row r="19" spans="1:14" x14ac:dyDescent="0.3">
      <c r="A19" s="49" t="s">
        <v>15</v>
      </c>
      <c r="B19" s="25">
        <v>40</v>
      </c>
      <c r="C19" s="25">
        <f>B19*(9/5)+32</f>
        <v>104</v>
      </c>
      <c r="D19" s="26" t="s">
        <v>7</v>
      </c>
      <c r="F19" s="17" t="s">
        <v>82</v>
      </c>
      <c r="G19" s="19"/>
      <c r="H19" s="18"/>
      <c r="J19" s="21" t="s">
        <v>56</v>
      </c>
      <c r="K19" s="31">
        <f>K20*K22</f>
        <v>3.7236072219224825</v>
      </c>
      <c r="M19" s="3" t="s">
        <v>67</v>
      </c>
      <c r="N19" s="4">
        <v>5.9276</v>
      </c>
    </row>
    <row r="20" spans="1:14" ht="15" thickBot="1" x14ac:dyDescent="0.35">
      <c r="A20" s="49" t="s">
        <v>16</v>
      </c>
      <c r="B20" s="25">
        <v>100</v>
      </c>
      <c r="C20" s="25">
        <f>B20*(9/5)+32</f>
        <v>212</v>
      </c>
      <c r="D20" s="26" t="s">
        <v>8</v>
      </c>
      <c r="F20" s="5" t="s">
        <v>43</v>
      </c>
      <c r="G20" s="59">
        <f>MAX(G6,G9,G10)</f>
        <v>27.436977982833678</v>
      </c>
      <c r="H20" s="60"/>
      <c r="J20" s="21" t="s">
        <v>57</v>
      </c>
      <c r="K20" s="31">
        <f>1+(0.0001148*C28)+(0.00000001108*C28^2)</f>
        <v>1.0115878043976614</v>
      </c>
      <c r="M20" s="3" t="s">
        <v>50</v>
      </c>
      <c r="N20" s="4">
        <v>-0.17856</v>
      </c>
    </row>
    <row r="21" spans="1:14" ht="15" thickBot="1" x14ac:dyDescent="0.35">
      <c r="A21" s="49" t="s">
        <v>17</v>
      </c>
      <c r="B21" s="56">
        <f>(INDEX(ConductorData!D:D,MATCH(LineRating_IEEE!B15:C15,ConductorData!M:M,0)))*2*12</f>
        <v>1.3449599999999999</v>
      </c>
      <c r="C21" s="25">
        <f>B21/12</f>
        <v>0.11208</v>
      </c>
      <c r="D21" s="26" t="s">
        <v>9</v>
      </c>
      <c r="J21" s="21" t="s">
        <v>58</v>
      </c>
      <c r="K21" s="31">
        <f>N18+(N19*K10)+(N20*K10^2)+(N21*K10^3)+(N22*K10^4)+(N23*K10^5)+(N24*K10^6)</f>
        <v>-103.7015645273524</v>
      </c>
      <c r="M21" s="3" t="s">
        <v>68</v>
      </c>
      <c r="N21" s="4">
        <v>3.2230000000000002E-3</v>
      </c>
    </row>
    <row r="22" spans="1:14" ht="15" thickBot="1" x14ac:dyDescent="0.35">
      <c r="A22" s="49" t="s">
        <v>18</v>
      </c>
      <c r="B22" s="55">
        <f>INDEX(ConductorData!H:H,MATCH(LineRating_IEEE!B15:C15,ConductorData!M:M,0))/5280</f>
        <v>1.5757575757575756E-5</v>
      </c>
      <c r="C22" s="58">
        <v>2.2200000000000001E-5</v>
      </c>
      <c r="D22" s="26" t="s">
        <v>10</v>
      </c>
      <c r="E22" s="14">
        <v>25</v>
      </c>
      <c r="F22" s="17" t="s">
        <v>38</v>
      </c>
      <c r="G22" s="18"/>
      <c r="J22" s="24" t="s">
        <v>59</v>
      </c>
      <c r="K22" s="32">
        <f>N26+(N27*K10)+(N28*K10^2)+(N29*K10^3)+(N30*K10^4)+(N31*K10^5)+(N32*K10^6)</f>
        <v>3.680953057890672</v>
      </c>
      <c r="M22" s="3" t="s">
        <v>69</v>
      </c>
      <c r="N22" s="4">
        <v>-3.3549E-5</v>
      </c>
    </row>
    <row r="23" spans="1:14" x14ac:dyDescent="0.3">
      <c r="A23" s="49" t="s">
        <v>19</v>
      </c>
      <c r="B23" s="25"/>
      <c r="C23" s="25">
        <v>2.6480000000000001E-5</v>
      </c>
      <c r="D23" s="26" t="s">
        <v>10</v>
      </c>
      <c r="E23" s="14">
        <v>75</v>
      </c>
      <c r="F23" s="3" t="s">
        <v>10</v>
      </c>
      <c r="G23" s="4">
        <f>(((C23-C22)/(E23-E22))*(G24-E22))+C22</f>
        <v>2.862E-5</v>
      </c>
      <c r="M23" s="3" t="s">
        <v>70</v>
      </c>
      <c r="N23" s="4">
        <v>1.8052999999999999E-7</v>
      </c>
    </row>
    <row r="24" spans="1:14" ht="15" thickBot="1" x14ac:dyDescent="0.35">
      <c r="A24" s="49" t="s">
        <v>20</v>
      </c>
      <c r="B24" s="25">
        <v>90</v>
      </c>
      <c r="C24" s="25"/>
      <c r="D24" s="26" t="s">
        <v>11</v>
      </c>
      <c r="F24" s="5" t="s">
        <v>39</v>
      </c>
      <c r="G24" s="7">
        <v>100</v>
      </c>
      <c r="M24" s="9" t="s">
        <v>71</v>
      </c>
      <c r="N24" s="10">
        <v>-3.7867999999999998E-10</v>
      </c>
    </row>
    <row r="25" spans="1:14" ht="15" thickBot="1" x14ac:dyDescent="0.35">
      <c r="A25" s="49" t="s">
        <v>21</v>
      </c>
      <c r="B25" s="25">
        <v>30</v>
      </c>
      <c r="C25" s="25" t="s">
        <v>33</v>
      </c>
      <c r="D25" s="26" t="s">
        <v>12</v>
      </c>
      <c r="M25" s="17" t="s">
        <v>72</v>
      </c>
      <c r="N25" s="18"/>
    </row>
    <row r="26" spans="1:14" ht="15" thickBot="1" x14ac:dyDescent="0.35">
      <c r="A26" s="49" t="s">
        <v>22</v>
      </c>
      <c r="B26" s="25" t="s">
        <v>84</v>
      </c>
      <c r="C26" s="25"/>
      <c r="D26" s="26"/>
      <c r="J26" s="12">
        <v>0</v>
      </c>
      <c r="K26" s="13">
        <f t="shared" ref="K26:K36" si="0">K27-15</f>
        <v>-180</v>
      </c>
      <c r="M26" s="3" t="s">
        <v>66</v>
      </c>
      <c r="N26" s="4">
        <v>4.9408000000000003</v>
      </c>
    </row>
    <row r="27" spans="1:14" x14ac:dyDescent="0.3">
      <c r="A27" s="49" t="s">
        <v>23</v>
      </c>
      <c r="B27" s="46">
        <v>42165</v>
      </c>
      <c r="C27" s="25">
        <v>4</v>
      </c>
      <c r="D27" s="26">
        <v>11</v>
      </c>
      <c r="F27" s="17" t="s">
        <v>87</v>
      </c>
      <c r="G27" s="18"/>
      <c r="J27" s="3">
        <v>1</v>
      </c>
      <c r="K27" s="4">
        <f t="shared" si="0"/>
        <v>-165</v>
      </c>
      <c r="M27" s="3" t="s">
        <v>67</v>
      </c>
      <c r="N27" s="4">
        <v>1.3202</v>
      </c>
    </row>
    <row r="28" spans="1:14" ht="15" thickBot="1" x14ac:dyDescent="0.35">
      <c r="A28" s="50" t="s">
        <v>24</v>
      </c>
      <c r="B28" s="40">
        <v>328</v>
      </c>
      <c r="C28" s="40">
        <f>B28*0.3048</f>
        <v>99.974400000000003</v>
      </c>
      <c r="D28" s="30" t="s">
        <v>13</v>
      </c>
      <c r="F28" s="65">
        <f>SQRT((G20+K4-C31)/(G23))</f>
        <v>1182.8566851645126</v>
      </c>
      <c r="G28" s="66"/>
      <c r="J28" s="3">
        <f>J27+1</f>
        <v>2</v>
      </c>
      <c r="K28" s="4">
        <f t="shared" si="0"/>
        <v>-150</v>
      </c>
      <c r="M28" s="3" t="s">
        <v>50</v>
      </c>
      <c r="N28" s="4">
        <v>6.1443999999999999E-2</v>
      </c>
    </row>
    <row r="29" spans="1:14" ht="15" thickBot="1" x14ac:dyDescent="0.35">
      <c r="A29" s="11"/>
      <c r="B29" s="11"/>
      <c r="C29" s="11"/>
      <c r="D29" s="47"/>
      <c r="J29" s="3">
        <f t="shared" ref="J29:J39" si="1">J28+1</f>
        <v>3</v>
      </c>
      <c r="K29" s="4">
        <f t="shared" si="0"/>
        <v>-135</v>
      </c>
      <c r="M29" s="3" t="s">
        <v>68</v>
      </c>
      <c r="N29" s="4">
        <v>-2.9410999999999999E-3</v>
      </c>
    </row>
    <row r="30" spans="1:14" x14ac:dyDescent="0.3">
      <c r="A30" s="51" t="s">
        <v>86</v>
      </c>
      <c r="B30" s="52">
        <v>0</v>
      </c>
      <c r="C30" s="52"/>
      <c r="D30" s="53" t="s">
        <v>85</v>
      </c>
      <c r="J30" s="3">
        <f t="shared" si="1"/>
        <v>4</v>
      </c>
      <c r="K30" s="4">
        <f t="shared" si="0"/>
        <v>-120</v>
      </c>
      <c r="M30" s="3" t="s">
        <v>69</v>
      </c>
      <c r="N30" s="4">
        <v>5.0775200000000001E-5</v>
      </c>
    </row>
    <row r="31" spans="1:14" ht="15" thickBot="1" x14ac:dyDescent="0.35">
      <c r="A31" s="50" t="s">
        <v>22</v>
      </c>
      <c r="B31" s="40" t="s">
        <v>52</v>
      </c>
      <c r="C31" s="57">
        <f>INDEX(K15:K16,MATCH(B31,J15:J16,0))</f>
        <v>-3.5501656167742852</v>
      </c>
      <c r="D31" s="30"/>
      <c r="J31" s="3">
        <f t="shared" si="1"/>
        <v>5</v>
      </c>
      <c r="K31" s="4">
        <f t="shared" si="0"/>
        <v>-105</v>
      </c>
      <c r="M31" s="3" t="s">
        <v>70</v>
      </c>
      <c r="N31" s="4">
        <v>-4.0362699999999999E-7</v>
      </c>
    </row>
    <row r="32" spans="1:14" ht="15" thickBot="1" x14ac:dyDescent="0.35">
      <c r="J32" s="3">
        <f t="shared" si="1"/>
        <v>6</v>
      </c>
      <c r="K32" s="4">
        <f t="shared" si="0"/>
        <v>-90</v>
      </c>
      <c r="M32" s="5" t="s">
        <v>71</v>
      </c>
      <c r="N32" s="7">
        <v>1.22967E-9</v>
      </c>
    </row>
    <row r="33" spans="10:11" x14ac:dyDescent="0.3">
      <c r="J33" s="3">
        <f t="shared" si="1"/>
        <v>7</v>
      </c>
      <c r="K33" s="4">
        <f t="shared" si="0"/>
        <v>-75</v>
      </c>
    </row>
    <row r="34" spans="10:11" x14ac:dyDescent="0.3">
      <c r="J34" s="3">
        <f t="shared" si="1"/>
        <v>8</v>
      </c>
      <c r="K34" s="4">
        <f t="shared" si="0"/>
        <v>-60</v>
      </c>
    </row>
    <row r="35" spans="10:11" x14ac:dyDescent="0.3">
      <c r="J35" s="3">
        <f t="shared" si="1"/>
        <v>9</v>
      </c>
      <c r="K35" s="4">
        <f t="shared" si="0"/>
        <v>-45</v>
      </c>
    </row>
    <row r="36" spans="10:11" x14ac:dyDescent="0.3">
      <c r="J36" s="3">
        <f t="shared" si="1"/>
        <v>10</v>
      </c>
      <c r="K36" s="4">
        <f t="shared" si="0"/>
        <v>-30</v>
      </c>
    </row>
    <row r="37" spans="10:11" x14ac:dyDescent="0.3">
      <c r="J37" s="3">
        <f t="shared" si="1"/>
        <v>11</v>
      </c>
      <c r="K37" s="4">
        <f>K38-15</f>
        <v>-15</v>
      </c>
    </row>
    <row r="38" spans="10:11" x14ac:dyDescent="0.3">
      <c r="J38" s="3">
        <f t="shared" si="1"/>
        <v>12</v>
      </c>
      <c r="K38" s="4">
        <v>0</v>
      </c>
    </row>
    <row r="39" spans="10:11" x14ac:dyDescent="0.3">
      <c r="J39" s="3">
        <f t="shared" si="1"/>
        <v>13</v>
      </c>
      <c r="K39" s="4">
        <f>K38+15</f>
        <v>15</v>
      </c>
    </row>
    <row r="40" spans="10:11" x14ac:dyDescent="0.3">
      <c r="J40" s="3">
        <f>J39+1</f>
        <v>14</v>
      </c>
      <c r="K40" s="4">
        <f t="shared" ref="K40:K50" si="2">K39+15</f>
        <v>30</v>
      </c>
    </row>
    <row r="41" spans="10:11" x14ac:dyDescent="0.3">
      <c r="J41" s="3">
        <f>J40+1</f>
        <v>15</v>
      </c>
      <c r="K41" s="4">
        <f t="shared" si="2"/>
        <v>45</v>
      </c>
    </row>
    <row r="42" spans="10:11" x14ac:dyDescent="0.3">
      <c r="J42" s="3">
        <f>J41+1</f>
        <v>16</v>
      </c>
      <c r="K42" s="4">
        <f t="shared" si="2"/>
        <v>60</v>
      </c>
    </row>
    <row r="43" spans="10:11" x14ac:dyDescent="0.3">
      <c r="J43" s="3">
        <f>J42+1</f>
        <v>17</v>
      </c>
      <c r="K43" s="4">
        <f t="shared" si="2"/>
        <v>75</v>
      </c>
    </row>
    <row r="44" spans="10:11" x14ac:dyDescent="0.3">
      <c r="J44" s="3">
        <f>J43+1</f>
        <v>18</v>
      </c>
      <c r="K44" s="4">
        <f t="shared" si="2"/>
        <v>90</v>
      </c>
    </row>
    <row r="45" spans="10:11" x14ac:dyDescent="0.3">
      <c r="J45" s="3">
        <f t="shared" ref="J45:J51" si="3">J44+1</f>
        <v>19</v>
      </c>
      <c r="K45" s="4">
        <f t="shared" si="2"/>
        <v>105</v>
      </c>
    </row>
    <row r="46" spans="10:11" x14ac:dyDescent="0.3">
      <c r="J46" s="3">
        <f t="shared" si="3"/>
        <v>20</v>
      </c>
      <c r="K46" s="4">
        <f t="shared" si="2"/>
        <v>120</v>
      </c>
    </row>
    <row r="47" spans="10:11" x14ac:dyDescent="0.3">
      <c r="J47" s="3">
        <f t="shared" si="3"/>
        <v>21</v>
      </c>
      <c r="K47" s="4">
        <f t="shared" si="2"/>
        <v>135</v>
      </c>
    </row>
    <row r="48" spans="10:11" x14ac:dyDescent="0.3">
      <c r="J48" s="3">
        <f t="shared" si="3"/>
        <v>22</v>
      </c>
      <c r="K48" s="4">
        <f t="shared" si="2"/>
        <v>150</v>
      </c>
    </row>
    <row r="49" spans="10:11" x14ac:dyDescent="0.3">
      <c r="J49" s="3">
        <f t="shared" si="3"/>
        <v>23</v>
      </c>
      <c r="K49" s="4">
        <f t="shared" si="2"/>
        <v>165</v>
      </c>
    </row>
    <row r="50" spans="10:11" ht="15" thickBot="1" x14ac:dyDescent="0.35">
      <c r="J50" s="5">
        <f t="shared" si="3"/>
        <v>24</v>
      </c>
      <c r="K50" s="7">
        <f t="shared" si="2"/>
        <v>180</v>
      </c>
    </row>
  </sheetData>
  <mergeCells count="23">
    <mergeCell ref="F28:G28"/>
    <mergeCell ref="G9:H9"/>
    <mergeCell ref="G10:H10"/>
    <mergeCell ref="G13:H13"/>
    <mergeCell ref="G17:H17"/>
    <mergeCell ref="G20:H20"/>
    <mergeCell ref="F27:G27"/>
    <mergeCell ref="J3:K3"/>
    <mergeCell ref="J7:K7"/>
    <mergeCell ref="M17:N17"/>
    <mergeCell ref="M25:N25"/>
    <mergeCell ref="F8:H8"/>
    <mergeCell ref="F3:H3"/>
    <mergeCell ref="F12:H12"/>
    <mergeCell ref="F14:H14"/>
    <mergeCell ref="F16:H16"/>
    <mergeCell ref="B15:C15"/>
    <mergeCell ref="A14:D14"/>
    <mergeCell ref="F22:G22"/>
    <mergeCell ref="F19:H19"/>
    <mergeCell ref="G4:H4"/>
    <mergeCell ref="G5:H5"/>
    <mergeCell ref="G6:H6"/>
  </mergeCells>
  <dataValidations count="3">
    <dataValidation type="list" allowBlank="1" showInputMessage="1" showErrorMessage="1" sqref="C27" xr:uid="{943E5EF5-5A55-4B71-9640-E36D716C2DDC}">
      <formula1>$J$26:$J$50</formula1>
    </dataValidation>
    <dataValidation type="list" allowBlank="1" showInputMessage="1" showErrorMessage="1" sqref="B31" xr:uid="{6CD6FD81-E929-4923-B657-CC80F0AB334D}">
      <formula1>$J$15:$J$16</formula1>
    </dataValidation>
    <dataValidation type="list" allowBlank="1" showInputMessage="1" showErrorMessage="1" sqref="B15:C15" xr:uid="{54BB86C2-1907-4D79-80DD-F057F47082DD}">
      <formula1>ConductorList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3004-72F6-47B6-9B8B-9E6F3A8AC5B1}">
  <dimension ref="A1:M3"/>
  <sheetViews>
    <sheetView workbookViewId="0">
      <selection activeCell="M2" sqref="M2:M3"/>
    </sheetView>
  </sheetViews>
  <sheetFormatPr defaultRowHeight="14.4" x14ac:dyDescent="0.3"/>
  <cols>
    <col min="13" max="13" width="19" bestFit="1" customWidth="1"/>
  </cols>
  <sheetData>
    <row r="1" spans="1:13" x14ac:dyDescent="0.3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</row>
    <row r="2" spans="1:13" x14ac:dyDescent="0.3">
      <c r="A2">
        <v>0</v>
      </c>
      <c r="B2">
        <v>1272</v>
      </c>
      <c r="C2">
        <v>4.5499999999999999E-2</v>
      </c>
      <c r="D2">
        <v>5.604E-2</v>
      </c>
      <c r="E2">
        <v>1190</v>
      </c>
      <c r="F2">
        <v>1276.2</v>
      </c>
      <c r="G2">
        <v>1579.5</v>
      </c>
      <c r="H2">
        <v>8.3199999999999996E-2</v>
      </c>
      <c r="I2">
        <v>0.378</v>
      </c>
      <c r="J2">
        <v>8.5500000000000007E-2</v>
      </c>
      <c r="K2" t="s">
        <v>103</v>
      </c>
      <c r="L2" t="s">
        <v>102</v>
      </c>
      <c r="M2" t="s">
        <v>101</v>
      </c>
    </row>
    <row r="3" spans="1:13" x14ac:dyDescent="0.3">
      <c r="A3">
        <v>0</v>
      </c>
      <c r="B3">
        <v>1351.5</v>
      </c>
      <c r="C3">
        <v>4.5900000000000003E-2</v>
      </c>
      <c r="D3">
        <v>5.8900000000000001E-2</v>
      </c>
      <c r="E3">
        <v>1235.7</v>
      </c>
      <c r="F3">
        <v>1325.7</v>
      </c>
      <c r="G3">
        <v>1642.5</v>
      </c>
      <c r="H3">
        <v>8.0299999999999996E-2</v>
      </c>
      <c r="I3">
        <v>0.36899999999999999</v>
      </c>
      <c r="J3">
        <v>8.3799999999999999E-2</v>
      </c>
      <c r="K3" t="s">
        <v>103</v>
      </c>
      <c r="L3" t="s">
        <v>104</v>
      </c>
      <c r="M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LineRating_IEEE</vt:lpstr>
      <vt:lpstr>ConductorData</vt:lpstr>
      <vt:lpstr>ConductorList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Fleshman, Isaak</dc:creator>
  <cp:lastModifiedBy>Fleshman, Isaak</cp:lastModifiedBy>
  <dcterms:created xsi:type="dcterms:W3CDTF">2026-04-07T12:19:20Z</dcterms:created>
  <dcterms:modified xsi:type="dcterms:W3CDTF">2026-04-07T15:00:50Z</dcterms:modified>
</cp:coreProperties>
</file>